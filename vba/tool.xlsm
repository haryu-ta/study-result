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0475" windowHeight="8130"/>
  </bookViews>
  <sheets>
    <sheet name="実行シート" sheetId="1" r:id="rId1"/>
    <sheet name="モジュール一覧" sheetId="2" r:id="rId2"/>
    <sheet name="Sheet3" sheetId="3" state="hidden" r:id="rId3"/>
  </sheets>
  <externalReferences>
    <externalReference r:id="rId4"/>
  </externalReferences>
  <definedNames>
    <definedName name="データタイプ">[1]データ!$A$2:$A$20</definedName>
    <definedName name="データタイプ_階層構造用">#REF!</definedName>
  </definedNames>
  <calcPr calcId="145621"/>
</workbook>
</file>

<file path=xl/calcChain.xml><?xml version="1.0" encoding="utf-8"?>
<calcChain xmlns="http://schemas.openxmlformats.org/spreadsheetml/2006/main">
  <c r="C7" i="1" l="1"/>
  <c r="C6" i="1"/>
  <c r="C5" i="1"/>
</calcChain>
</file>

<file path=xl/sharedStrings.xml><?xml version="1.0" encoding="utf-8"?>
<sst xmlns="http://schemas.openxmlformats.org/spreadsheetml/2006/main" count="62" uniqueCount="48">
  <si>
    <t>*.xls</t>
    <phoneticPr fontId="1"/>
  </si>
  <si>
    <t>実行モジュール</t>
    <rPh sb="0" eb="2">
      <t>ジッコウ</t>
    </rPh>
    <phoneticPr fontId="1"/>
  </si>
  <si>
    <t>実行切替</t>
    <rPh sb="0" eb="2">
      <t>ジッコウ</t>
    </rPh>
    <rPh sb="2" eb="4">
      <t>キリカエ</t>
    </rPh>
    <phoneticPr fontId="1"/>
  </si>
  <si>
    <t>モジュール一覧</t>
    <rPh sb="5" eb="7">
      <t>イチラン</t>
    </rPh>
    <phoneticPr fontId="1"/>
  </si>
  <si>
    <t>vba_module_in</t>
  </si>
  <si>
    <t>[Microsoft Visual Basic for Application Extensibility]参照設定要</t>
    <rPh sb="54" eb="56">
      <t>サンショウ</t>
    </rPh>
    <rPh sb="56" eb="58">
      <t>セッテイ</t>
    </rPh>
    <rPh sb="58" eb="59">
      <t>ヨウ</t>
    </rPh>
    <phoneticPr fontId="1"/>
  </si>
  <si>
    <t>注意点</t>
    <rPh sb="0" eb="3">
      <t>チュウイテン</t>
    </rPh>
    <phoneticPr fontId="1"/>
  </si>
  <si>
    <t>実行引数1</t>
    <rPh sb="0" eb="2">
      <t>ジッコウ</t>
    </rPh>
    <rPh sb="2" eb="4">
      <t>ヒキスウ</t>
    </rPh>
    <phoneticPr fontId="1"/>
  </si>
  <si>
    <t>実行引数2</t>
    <rPh sb="0" eb="2">
      <t>ジッコウ</t>
    </rPh>
    <rPh sb="2" eb="4">
      <t>ヒキスウ</t>
    </rPh>
    <phoneticPr fontId="1"/>
  </si>
  <si>
    <t>実行引数3</t>
    <rPh sb="0" eb="2">
      <t>ジッコウ</t>
    </rPh>
    <rPh sb="2" eb="4">
      <t>ヒキスウ</t>
    </rPh>
    <phoneticPr fontId="1"/>
  </si>
  <si>
    <t>addReference</t>
    <phoneticPr fontId="1"/>
  </si>
  <si>
    <t>指定モジュールのインポート</t>
    <rPh sb="0" eb="2">
      <t>シテイ</t>
    </rPh>
    <phoneticPr fontId="1"/>
  </si>
  <si>
    <t>機能説明</t>
    <rPh sb="0" eb="2">
      <t>キノウ</t>
    </rPh>
    <rPh sb="2" eb="4">
      <t>セツメイ</t>
    </rPh>
    <phoneticPr fontId="1"/>
  </si>
  <si>
    <t>指定Excel参照の設定</t>
    <rPh sb="0" eb="2">
      <t>シテイ</t>
    </rPh>
    <rPh sb="7" eb="9">
      <t>サンショウ</t>
    </rPh>
    <rPh sb="10" eb="12">
      <t>セッテイ</t>
    </rPh>
    <phoneticPr fontId="1"/>
  </si>
  <si>
    <t>引数設定値</t>
    <rPh sb="0" eb="2">
      <t>ヒキスウ</t>
    </rPh>
    <rPh sb="2" eb="5">
      <t>セッテイチ</t>
    </rPh>
    <phoneticPr fontId="1"/>
  </si>
  <si>
    <t>formatMUSE</t>
    <phoneticPr fontId="1"/>
  </si>
  <si>
    <t>MUSE I/F向け書式設定</t>
    <rPh sb="8" eb="9">
      <t>ム</t>
    </rPh>
    <rPh sb="10" eb="12">
      <t>ショシキ</t>
    </rPh>
    <rPh sb="12" eb="14">
      <t>セッテイ</t>
    </rPh>
    <phoneticPr fontId="1"/>
  </si>
  <si>
    <t>なし</t>
    <phoneticPr fontId="1"/>
  </si>
  <si>
    <t>なし</t>
    <phoneticPr fontId="1"/>
  </si>
  <si>
    <t>参照名</t>
    <rPh sb="0" eb="2">
      <t>サンショウ</t>
    </rPh>
    <rPh sb="2" eb="3">
      <t>メイ</t>
    </rPh>
    <phoneticPr fontId="1"/>
  </si>
  <si>
    <t>日付</t>
    <rPh sb="0" eb="2">
      <t>ヒヅケ</t>
    </rPh>
    <phoneticPr fontId="1"/>
  </si>
  <si>
    <t>解放モジュール名</t>
    <rPh sb="0" eb="2">
      <t>カイホウ</t>
    </rPh>
    <rPh sb="7" eb="8">
      <t>メイ</t>
    </rPh>
    <phoneticPr fontId="1"/>
  </si>
  <si>
    <t>vba_module_out</t>
    <phoneticPr fontId="1"/>
  </si>
  <si>
    <t>all_module_out</t>
    <phoneticPr fontId="1"/>
  </si>
  <si>
    <t>なし</t>
    <phoneticPr fontId="1"/>
  </si>
  <si>
    <t>displayPosition_default</t>
    <phoneticPr fontId="1"/>
  </si>
  <si>
    <t>取込モジュール名(フルパス)</t>
    <rPh sb="0" eb="2">
      <t>トリコ</t>
    </rPh>
    <rPh sb="7" eb="8">
      <t>メイ</t>
    </rPh>
    <phoneticPr fontId="1"/>
  </si>
  <si>
    <t>ブック内の全モジュール解放</t>
    <rPh sb="3" eb="4">
      <t>ナイ</t>
    </rPh>
    <rPh sb="5" eb="6">
      <t>ゼン</t>
    </rPh>
    <rPh sb="11" eb="13">
      <t>カイホウ</t>
    </rPh>
    <phoneticPr fontId="1"/>
  </si>
  <si>
    <t>ブック内の指定モジュールの解放</t>
    <rPh sb="3" eb="4">
      <t>ナイ</t>
    </rPh>
    <rPh sb="5" eb="7">
      <t>シテイ</t>
    </rPh>
    <rPh sb="13" eb="15">
      <t>カイホウ</t>
    </rPh>
    <phoneticPr fontId="1"/>
  </si>
  <si>
    <t>ブック内全シートの表示位置を左上に設定</t>
    <rPh sb="3" eb="4">
      <t>ナイ</t>
    </rPh>
    <rPh sb="4" eb="5">
      <t>ゼン</t>
    </rPh>
    <rPh sb="9" eb="11">
      <t>ヒョウジ</t>
    </rPh>
    <rPh sb="11" eb="13">
      <t>イチ</t>
    </rPh>
    <rPh sb="14" eb="15">
      <t>ヒダリ</t>
    </rPh>
    <rPh sb="15" eb="16">
      <t>ウエ</t>
    </rPh>
    <rPh sb="17" eb="19">
      <t>セッテイ</t>
    </rPh>
    <phoneticPr fontId="1"/>
  </si>
  <si>
    <t>反映ファイル配置ディレクトリ</t>
    <rPh sb="0" eb="2">
      <t>ハンエイ</t>
    </rPh>
    <rPh sb="6" eb="8">
      <t>ハイチ</t>
    </rPh>
    <phoneticPr fontId="1"/>
  </si>
  <si>
    <t>反映ファイル名(正規表現可)</t>
    <rPh sb="0" eb="2">
      <t>ハンエイ</t>
    </rPh>
    <rPh sb="6" eb="7">
      <t>メイ</t>
    </rPh>
    <rPh sb="8" eb="10">
      <t>セイキ</t>
    </rPh>
    <rPh sb="10" eb="12">
      <t>ヒョウゲン</t>
    </rPh>
    <rPh sb="12" eb="13">
      <t>カ</t>
    </rPh>
    <phoneticPr fontId="1"/>
  </si>
  <si>
    <t>rename_sheet</t>
    <phoneticPr fontId="1"/>
  </si>
  <si>
    <t>シート名をリネームする</t>
    <rPh sb="3" eb="4">
      <t>メイ</t>
    </rPh>
    <phoneticPr fontId="1"/>
  </si>
  <si>
    <t>被置換対象</t>
    <rPh sb="0" eb="1">
      <t>ヒ</t>
    </rPh>
    <rPh sb="1" eb="3">
      <t>チカン</t>
    </rPh>
    <rPh sb="3" eb="5">
      <t>タイショウ</t>
    </rPh>
    <phoneticPr fontId="1"/>
  </si>
  <si>
    <t>置換文字列</t>
    <rPh sb="0" eb="2">
      <t>チカン</t>
    </rPh>
    <rPh sb="2" eb="5">
      <t>モジレツ</t>
    </rPh>
    <phoneticPr fontId="1"/>
  </si>
  <si>
    <t>なし</t>
    <phoneticPr fontId="1"/>
  </si>
  <si>
    <t>変更履歴シートの記載</t>
    <rPh sb="0" eb="2">
      <t>ヘンコウ</t>
    </rPh>
    <rPh sb="2" eb="4">
      <t>リレキ</t>
    </rPh>
    <rPh sb="8" eb="10">
      <t>キサイ</t>
    </rPh>
    <phoneticPr fontId="1"/>
  </si>
  <si>
    <t>　</t>
    <phoneticPr fontId="1"/>
  </si>
  <si>
    <t>dropsheets</t>
    <phoneticPr fontId="1"/>
  </si>
  <si>
    <t>BookPrint</t>
    <phoneticPr fontId="1"/>
  </si>
  <si>
    <t>convertFixFile</t>
    <phoneticPr fontId="1"/>
  </si>
  <si>
    <t>固定長ファイル用に変換</t>
    <rPh sb="0" eb="3">
      <t>コテイチョウ</t>
    </rPh>
    <rPh sb="7" eb="8">
      <t>ヨウ</t>
    </rPh>
    <rPh sb="9" eb="11">
      <t>ヘンカン</t>
    </rPh>
    <phoneticPr fontId="1"/>
  </si>
  <si>
    <t>collectSheet</t>
    <phoneticPr fontId="1"/>
  </si>
  <si>
    <t>シートを一ブックにまとめる</t>
    <rPh sb="4" eb="5">
      <t>イチ</t>
    </rPh>
    <phoneticPr fontId="1"/>
  </si>
  <si>
    <t>C:\Users\tie027538\Desktop\java\exel</t>
    <phoneticPr fontId="1"/>
  </si>
  <si>
    <t>describeHistory</t>
    <phoneticPr fontId="1"/>
  </si>
  <si>
    <t>describeHistory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</si>
</sst>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yy/mm"/>
    <numFmt numFmtId="177" formatCode="yy/m"/>
    <numFmt numFmtId="178" formatCode="_-&quot;$&quot;* #,##0_-;\-&quot;$&quot;* #,##0_-;_-&quot;$&quot;* &quot;-&quot;_-;_-@_-"/>
    <numFmt numFmtId="179" formatCode="_-&quot;$&quot;* #,##0.00_-;\-&quot;$&quot;* #,##0.00_-;_-&quot;$&quot;* &quot;-&quot;??_-;_-@_-"/>
    <numFmt numFmtId="180" formatCode="#,##0.0"/>
    <numFmt numFmtId="181" formatCode="#,##0.00&quot;｣&quot;_);[Red]\(#,##0.00&quot;｣&quot;\)"/>
    <numFmt numFmtId="182" formatCode="_(&quot;$&quot;* #,##0_);_(&quot;$&quot;* \(#,##0\);_(&quot;$&quot;* &quot;-&quot;_);_(@_)"/>
    <numFmt numFmtId="183" formatCode="&quot;$&quot;#,##0.00_);[Red]\(&quot;$&quot;#,##0.00\)"/>
    <numFmt numFmtId="184" formatCode="#,##0.00&quot;｣&quot;_);\(#,##0.00&quot;｣&quot;\)"/>
    <numFmt numFmtId="185" formatCode="&quot;｣&quot;#,##0.00;\-&quot;｣&quot;#,##0.00"/>
    <numFmt numFmtId="186" formatCode="_-* #,##0.0_-;\-* #,##0.0_-;_-* &quot;-&quot;??_-;_-@_-"/>
    <numFmt numFmtId="187" formatCode="&quot;$&quot;#,##0;\-&quot;$&quot;#,##0"/>
  </numFmts>
  <fonts count="5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9"/>
      <name val="ＭＳ 明朝"/>
      <family val="1"/>
      <charset val="128"/>
    </font>
    <font>
      <b/>
      <sz val="11"/>
      <color indexed="5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1"/>
      <name val="ＭＳ Ｐゴシック"/>
      <family val="3"/>
      <charset val="128"/>
    </font>
    <font>
      <sz val="10"/>
      <name val="MS Serif"/>
      <family val="1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u/>
      <sz val="8"/>
      <color indexed="12"/>
      <name val="Times New Roman"/>
      <family val="1"/>
    </font>
    <font>
      <sz val="10"/>
      <color indexed="14"/>
      <name val="Arial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sz val="10"/>
      <name val="MS Sans Serif"/>
      <family val="2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b/>
      <sz val="11"/>
      <name val="Helv"/>
      <family val="2"/>
    </font>
    <font>
      <b/>
      <sz val="8"/>
      <color indexed="8"/>
      <name val="Helv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17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  <bgColor indexed="64"/>
      </patternFill>
    </fill>
    <fill>
      <patternFill patternType="darkVertical"/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25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/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9" fillId="0" borderId="0">
      <alignment horizontal="center" wrapText="1"/>
      <protection locked="0"/>
    </xf>
    <xf numFmtId="0" fontId="10" fillId="0" borderId="0" applyFill="0" applyBorder="0" applyAlignment="0"/>
    <xf numFmtId="0" fontId="10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10" fillId="0" borderId="0" applyFill="0" applyBorder="0" applyAlignment="0"/>
    <xf numFmtId="0" fontId="11" fillId="0" borderId="0" applyFill="0" applyBorder="0" applyAlignment="0"/>
    <xf numFmtId="0" fontId="10" fillId="0" borderId="0" applyFill="0" applyBorder="0" applyAlignment="0"/>
    <xf numFmtId="176" fontId="12" fillId="0" borderId="0" applyFont="0" applyFill="0" applyBorder="0" applyAlignment="0" applyProtection="0"/>
    <xf numFmtId="0" fontId="11" fillId="0" borderId="0" applyFont="0" applyFill="0" applyBorder="0" applyAlignment="0" applyProtection="0"/>
    <xf numFmtId="177" fontId="12" fillId="0" borderId="0" applyFont="0" applyFill="0" applyBorder="0" applyAlignment="0" applyProtection="0"/>
    <xf numFmtId="0" fontId="13" fillId="0" borderId="0" applyNumberFormat="0" applyAlignment="0">
      <alignment horizontal="left"/>
    </xf>
    <xf numFmtId="17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14" fontId="10" fillId="0" borderId="0" applyFill="0" applyBorder="0" applyAlignment="0"/>
    <xf numFmtId="0" fontId="14" fillId="0" borderId="0" applyFill="0" applyBorder="0" applyAlignment="0"/>
    <xf numFmtId="0" fontId="14" fillId="0" borderId="0" applyFill="0" applyBorder="0" applyAlignment="0"/>
    <xf numFmtId="0" fontId="14" fillId="0" borderId="0" applyFill="0" applyBorder="0" applyAlignment="0"/>
    <xf numFmtId="0" fontId="11" fillId="0" borderId="0" applyFill="0" applyBorder="0" applyAlignment="0"/>
    <xf numFmtId="0" fontId="14" fillId="0" borderId="0" applyFill="0" applyBorder="0" applyAlignment="0"/>
    <xf numFmtId="0" fontId="15" fillId="0" borderId="0" applyNumberFormat="0" applyAlignment="0">
      <alignment horizontal="left"/>
    </xf>
    <xf numFmtId="0" fontId="16" fillId="0" borderId="0" applyNumberFormat="0" applyFill="0" applyBorder="0" applyAlignment="0" applyProtection="0">
      <alignment vertical="top"/>
      <protection locked="0"/>
    </xf>
    <xf numFmtId="38" fontId="17" fillId="4" borderId="0" applyNumberFormat="0" applyBorder="0" applyAlignment="0" applyProtection="0"/>
    <xf numFmtId="0" fontId="18" fillId="0" borderId="3" applyNumberFormat="0" applyAlignment="0" applyProtection="0">
      <alignment horizontal="left" vertical="center"/>
    </xf>
    <xf numFmtId="0" fontId="18" fillId="0" borderId="2">
      <alignment horizontal="left" vertical="center"/>
    </xf>
    <xf numFmtId="0" fontId="19" fillId="0" borderId="4">
      <alignment horizontal="center"/>
    </xf>
    <xf numFmtId="0" fontId="19" fillId="0" borderId="0">
      <alignment horizontal="center"/>
    </xf>
    <xf numFmtId="0" fontId="20" fillId="0" borderId="0" applyNumberFormat="0" applyFill="0" applyBorder="0" applyAlignment="0" applyProtection="0">
      <alignment vertical="top"/>
      <protection locked="0"/>
    </xf>
    <xf numFmtId="10" fontId="17" fillId="19" borderId="1" applyNumberFormat="0" applyBorder="0" applyAlignment="0" applyProtection="0"/>
    <xf numFmtId="0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0" fontId="11" fillId="0" borderId="0" applyFill="0" applyBorder="0" applyAlignment="0"/>
    <xf numFmtId="0" fontId="21" fillId="0" borderId="0" applyFill="0" applyBorder="0" applyAlignment="0"/>
    <xf numFmtId="180" fontId="12" fillId="0" borderId="0" applyFont="0" applyFill="0" applyBorder="0" applyAlignment="0" applyProtection="0"/>
    <xf numFmtId="4" fontId="2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11" fillId="0" borderId="0" applyFont="0" applyFill="0" applyBorder="0" applyAlignment="0" applyProtection="0"/>
    <xf numFmtId="183" fontId="22" fillId="0" borderId="0" applyFont="0" applyFill="0" applyBorder="0" applyAlignment="0" applyProtection="0"/>
    <xf numFmtId="181" fontId="23" fillId="0" borderId="0" applyFont="0" applyFill="0" applyBorder="0" applyAlignment="0" applyProtection="0"/>
    <xf numFmtId="184" fontId="23" fillId="0" borderId="0" applyFont="0" applyFill="0" applyBorder="0" applyAlignment="0" applyProtection="0"/>
    <xf numFmtId="185" fontId="22" fillId="0" borderId="0"/>
    <xf numFmtId="0" fontId="11" fillId="0" borderId="0"/>
    <xf numFmtId="0" fontId="24" fillId="0" borderId="0"/>
    <xf numFmtId="14" fontId="9" fillId="0" borderId="0">
      <alignment horizontal="center" wrapText="1"/>
      <protection locked="0"/>
    </xf>
    <xf numFmtId="0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5" fillId="0" borderId="0" applyFill="0" applyBorder="0" applyAlignment="0"/>
    <xf numFmtId="0" fontId="25" fillId="0" borderId="0" applyFill="0" applyBorder="0" applyAlignment="0"/>
    <xf numFmtId="0" fontId="25" fillId="0" borderId="0" applyFill="0" applyBorder="0" applyAlignment="0"/>
    <xf numFmtId="0" fontId="11" fillId="0" borderId="0" applyFill="0" applyBorder="0" applyAlignment="0"/>
    <xf numFmtId="0" fontId="25" fillId="0" borderId="0" applyFill="0" applyBorder="0" applyAlignment="0"/>
    <xf numFmtId="187" fontId="26" fillId="0" borderId="0"/>
    <xf numFmtId="0" fontId="27" fillId="0" borderId="4">
      <alignment horizontal="center"/>
    </xf>
    <xf numFmtId="0" fontId="28" fillId="20" borderId="0" applyNumberFormat="0" applyFont="0" applyBorder="0" applyAlignment="0">
      <alignment horizontal="center"/>
    </xf>
    <xf numFmtId="30" fontId="29" fillId="0" borderId="0" applyNumberFormat="0" applyFill="0" applyBorder="0" applyAlignment="0" applyProtection="0">
      <alignment horizontal="left"/>
    </xf>
    <xf numFmtId="0" fontId="28" fillId="1" borderId="2" applyNumberFormat="0" applyFont="0" applyAlignment="0">
      <alignment horizontal="center"/>
    </xf>
    <xf numFmtId="0" fontId="30" fillId="0" borderId="0" applyNumberFormat="0" applyFill="0" applyBorder="0" applyAlignment="0">
      <alignment horizontal="center"/>
    </xf>
    <xf numFmtId="0" fontId="31" fillId="0" borderId="0"/>
    <xf numFmtId="40" fontId="32" fillId="0" borderId="0" applyBorder="0">
      <alignment horizontal="right"/>
    </xf>
    <xf numFmtId="49" fontId="10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6" fillId="27" borderId="6" applyNumberFormat="0" applyFont="0" applyAlignment="0" applyProtection="0">
      <alignment vertical="center"/>
    </xf>
    <xf numFmtId="0" fontId="36" fillId="27" borderId="6" applyNumberFormat="0" applyFont="0" applyAlignment="0" applyProtection="0">
      <alignment vertical="center"/>
    </xf>
    <xf numFmtId="0" fontId="36" fillId="27" borderId="6" applyNumberFormat="0" applyFont="0" applyAlignment="0" applyProtection="0">
      <alignment vertical="center"/>
    </xf>
    <xf numFmtId="0" fontId="36" fillId="27" borderId="6" applyNumberFormat="0" applyFont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9" fillId="0" borderId="0"/>
    <xf numFmtId="0" fontId="6" fillId="28" borderId="8" applyNumberFormat="0" applyAlignment="0" applyProtection="0">
      <alignment vertical="center"/>
    </xf>
    <xf numFmtId="0" fontId="6" fillId="28" borderId="8" applyNumberFormat="0" applyAlignment="0" applyProtection="0">
      <alignment vertical="center"/>
    </xf>
    <xf numFmtId="0" fontId="6" fillId="28" borderId="8" applyNumberFormat="0" applyAlignment="0" applyProtection="0">
      <alignment vertical="center"/>
    </xf>
    <xf numFmtId="0" fontId="6" fillId="28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40" fontId="12" fillId="0" borderId="0" applyFont="0" applyFill="0" applyBorder="0" applyAlignment="0" applyProtection="0"/>
    <xf numFmtId="0" fontId="41" fillId="0" borderId="9" applyNumberFormat="0" applyFill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24" fillId="0" borderId="0"/>
    <xf numFmtId="0" fontId="5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/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0" fontId="0" fillId="3" borderId="1" xfId="0" applyFill="1" applyBorder="1">
      <alignment vertical="center"/>
    </xf>
    <xf numFmtId="0" fontId="4" fillId="0" borderId="1" xfId="1" applyBorder="1">
      <alignment vertical="center"/>
    </xf>
    <xf numFmtId="0" fontId="0" fillId="0" borderId="1" xfId="1" applyFont="1" applyBorder="1">
      <alignment vertical="center"/>
    </xf>
    <xf numFmtId="14" fontId="4" fillId="0" borderId="1" xfId="1" applyNumberFormat="1" applyBorder="1">
      <alignment vertical="center"/>
    </xf>
    <xf numFmtId="0" fontId="0" fillId="0" borderId="1" xfId="0" applyFill="1" applyBorder="1">
      <alignment vertical="center"/>
    </xf>
  </cellXfs>
  <cellStyles count="252">
    <cellStyle name="20% - アクセント 1 2" xfId="3"/>
    <cellStyle name="20% - アクセント 1 3" xfId="4"/>
    <cellStyle name="20% - アクセント 1 4" xfId="5"/>
    <cellStyle name="20% - アクセント 1 5" xfId="6"/>
    <cellStyle name="20% - アクセント 2 2" xfId="7"/>
    <cellStyle name="20% - アクセント 2 3" xfId="8"/>
    <cellStyle name="20% - アクセント 2 4" xfId="9"/>
    <cellStyle name="20% - アクセント 2 5" xfId="10"/>
    <cellStyle name="20% - アクセント 3 2" xfId="11"/>
    <cellStyle name="20% - アクセント 3 3" xfId="12"/>
    <cellStyle name="20% - アクセント 3 4" xfId="13"/>
    <cellStyle name="20% - アクセント 3 5" xfId="14"/>
    <cellStyle name="20% - アクセント 4 2" xfId="15"/>
    <cellStyle name="20% - アクセント 4 3" xfId="16"/>
    <cellStyle name="20% - アクセント 4 4" xfId="17"/>
    <cellStyle name="20% - アクセント 4 5" xfId="18"/>
    <cellStyle name="20% - アクセント 5 2" xfId="19"/>
    <cellStyle name="20% - アクセント 5 3" xfId="20"/>
    <cellStyle name="20% - アクセント 5 4" xfId="21"/>
    <cellStyle name="20% - アクセント 5 5" xfId="22"/>
    <cellStyle name="20% - アクセント 6 2" xfId="23"/>
    <cellStyle name="20% - アクセント 6 3" xfId="24"/>
    <cellStyle name="20% - アクセント 6 4" xfId="25"/>
    <cellStyle name="20% - アクセント 6 5" xfId="26"/>
    <cellStyle name="40% - アクセント 1 2" xfId="27"/>
    <cellStyle name="40% - アクセント 1 3" xfId="28"/>
    <cellStyle name="40% - アクセント 1 4" xfId="29"/>
    <cellStyle name="40% - アクセント 1 5" xfId="30"/>
    <cellStyle name="40% - アクセント 2 2" xfId="31"/>
    <cellStyle name="40% - アクセント 2 3" xfId="32"/>
    <cellStyle name="40% - アクセント 2 4" xfId="33"/>
    <cellStyle name="40% - アクセント 2 5" xfId="34"/>
    <cellStyle name="40% - アクセント 3 2" xfId="35"/>
    <cellStyle name="40% - アクセント 3 3" xfId="36"/>
    <cellStyle name="40% - アクセント 3 4" xfId="37"/>
    <cellStyle name="40% - アクセント 3 5" xfId="38"/>
    <cellStyle name="40% - アクセント 4 2" xfId="39"/>
    <cellStyle name="40% - アクセント 4 3" xfId="40"/>
    <cellStyle name="40% - アクセント 4 4" xfId="41"/>
    <cellStyle name="40% - アクセント 4 5" xfId="42"/>
    <cellStyle name="40% - アクセント 5 2" xfId="43"/>
    <cellStyle name="40% - アクセント 5 3" xfId="44"/>
    <cellStyle name="40% - アクセント 5 4" xfId="45"/>
    <cellStyle name="40% - アクセント 5 5" xfId="46"/>
    <cellStyle name="40% - アクセント 6 2" xfId="47"/>
    <cellStyle name="40% - アクセント 6 3" xfId="48"/>
    <cellStyle name="40% - アクセント 6 4" xfId="49"/>
    <cellStyle name="40% - アクセント 6 5" xfId="50"/>
    <cellStyle name="60% - アクセント 1 2" xfId="51"/>
    <cellStyle name="60% - アクセント 1 3" xfId="52"/>
    <cellStyle name="60% - アクセント 1 4" xfId="53"/>
    <cellStyle name="60% - アクセント 1 5" xfId="54"/>
    <cellStyle name="60% - アクセント 2 2" xfId="55"/>
    <cellStyle name="60% - アクセント 2 3" xfId="56"/>
    <cellStyle name="60% - アクセント 2 4" xfId="57"/>
    <cellStyle name="60% - アクセント 2 5" xfId="58"/>
    <cellStyle name="60% - アクセント 3 2" xfId="59"/>
    <cellStyle name="60% - アクセント 3 3" xfId="60"/>
    <cellStyle name="60% - アクセント 3 4" xfId="61"/>
    <cellStyle name="60% - アクセント 3 5" xfId="62"/>
    <cellStyle name="60% - アクセント 4 2" xfId="63"/>
    <cellStyle name="60% - アクセント 4 3" xfId="64"/>
    <cellStyle name="60% - アクセント 4 4" xfId="65"/>
    <cellStyle name="60% - アクセント 4 5" xfId="66"/>
    <cellStyle name="60% - アクセント 5 2" xfId="67"/>
    <cellStyle name="60% - アクセント 5 3" xfId="68"/>
    <cellStyle name="60% - アクセント 5 4" xfId="69"/>
    <cellStyle name="60% - アクセント 5 5" xfId="70"/>
    <cellStyle name="60% - アクセント 6 2" xfId="71"/>
    <cellStyle name="60% - アクセント 6 3" xfId="72"/>
    <cellStyle name="60% - アクセント 6 4" xfId="73"/>
    <cellStyle name="60% - アクセント 6 5" xfId="74"/>
    <cellStyle name="args.style" xfId="75"/>
    <cellStyle name="Calc Currency (0)" xfId="76"/>
    <cellStyle name="Calc Currency (2)" xfId="77"/>
    <cellStyle name="Calc Percent (0)" xfId="78"/>
    <cellStyle name="Calc Percent (1)" xfId="79"/>
    <cellStyle name="Calc Percent (2)" xfId="80"/>
    <cellStyle name="Calc Units (0)" xfId="81"/>
    <cellStyle name="Calc Units (1)" xfId="82"/>
    <cellStyle name="Calc Units (2)" xfId="83"/>
    <cellStyle name="Comma [0]_!!!GO" xfId="84"/>
    <cellStyle name="Comma [00]" xfId="85"/>
    <cellStyle name="Comma_!!!GO" xfId="86"/>
    <cellStyle name="Copied" xfId="87"/>
    <cellStyle name="Currency [0]_!!!GO" xfId="88"/>
    <cellStyle name="Currency [00]" xfId="89"/>
    <cellStyle name="Currency_!!!GO" xfId="90"/>
    <cellStyle name="Date Short" xfId="91"/>
    <cellStyle name="Enter Currency (0)" xfId="92"/>
    <cellStyle name="Enter Currency (2)" xfId="93"/>
    <cellStyle name="Enter Units (0)" xfId="94"/>
    <cellStyle name="Enter Units (1)" xfId="95"/>
    <cellStyle name="Enter Units (2)" xfId="96"/>
    <cellStyle name="Entered" xfId="97"/>
    <cellStyle name="Followed Hyperlink" xfId="98"/>
    <cellStyle name="Grey" xfId="99"/>
    <cellStyle name="Header1" xfId="100"/>
    <cellStyle name="Header2" xfId="101"/>
    <cellStyle name="HEADINGS" xfId="102"/>
    <cellStyle name="HEADINGSTOP" xfId="103"/>
    <cellStyle name="Hyperlink" xfId="104"/>
    <cellStyle name="Input [yellow]" xfId="105"/>
    <cellStyle name="Link Currency (0)" xfId="106"/>
    <cellStyle name="Link Currency (2)" xfId="107"/>
    <cellStyle name="Link Units (0)" xfId="108"/>
    <cellStyle name="Link Units (1)" xfId="109"/>
    <cellStyle name="Link Units (2)" xfId="110"/>
    <cellStyle name="Millares [0]_BRASIL (2)" xfId="111"/>
    <cellStyle name="Millares_5670-t123" xfId="112"/>
    <cellStyle name="Milliers [0]_!!!GO" xfId="113"/>
    <cellStyle name="Milliers_!!!GO" xfId="114"/>
    <cellStyle name="Moneda [0]_BRASIL (2)" xfId="115"/>
    <cellStyle name="Moneda_5670-t123" xfId="116"/>
    <cellStyle name="Mon騁aire [0]_!!!GO" xfId="117"/>
    <cellStyle name="Mon騁aire_!!!GO" xfId="118"/>
    <cellStyle name="Normal - Style1" xfId="119"/>
    <cellStyle name="Normal_!!!GO" xfId="120"/>
    <cellStyle name="Normale_LSCO0697" xfId="121"/>
    <cellStyle name="per.style" xfId="122"/>
    <cellStyle name="Percent [0]" xfId="123"/>
    <cellStyle name="Percent [00]" xfId="124"/>
    <cellStyle name="Percent [2]" xfId="125"/>
    <cellStyle name="Percent_#6 Temps &amp; Contractors" xfId="126"/>
    <cellStyle name="PrePop Currency (0)" xfId="127"/>
    <cellStyle name="PrePop Currency (2)" xfId="128"/>
    <cellStyle name="PrePop Units (0)" xfId="129"/>
    <cellStyle name="PrePop Units (1)" xfId="130"/>
    <cellStyle name="PrePop Units (2)" xfId="131"/>
    <cellStyle name="pricing" xfId="132"/>
    <cellStyle name="PSHeading" xfId="133"/>
    <cellStyle name="regstoresfromspecstores" xfId="134"/>
    <cellStyle name="RevList" xfId="135"/>
    <cellStyle name="SHADEDSTORES" xfId="136"/>
    <cellStyle name="specstores" xfId="137"/>
    <cellStyle name="subhead" xfId="138"/>
    <cellStyle name="Subtotal" xfId="139"/>
    <cellStyle name="Text Indent A" xfId="140"/>
    <cellStyle name="Text Indent B" xfId="141"/>
    <cellStyle name="Text Indent C" xfId="142"/>
    <cellStyle name="アクセント 1 2" xfId="143"/>
    <cellStyle name="アクセント 1 3" xfId="144"/>
    <cellStyle name="アクセント 1 4" xfId="145"/>
    <cellStyle name="アクセント 1 5" xfId="146"/>
    <cellStyle name="アクセント 2 2" xfId="147"/>
    <cellStyle name="アクセント 2 3" xfId="148"/>
    <cellStyle name="アクセント 2 4" xfId="149"/>
    <cellStyle name="アクセント 2 5" xfId="150"/>
    <cellStyle name="アクセント 3 2" xfId="151"/>
    <cellStyle name="アクセント 3 3" xfId="152"/>
    <cellStyle name="アクセント 3 4" xfId="153"/>
    <cellStyle name="アクセント 3 5" xfId="154"/>
    <cellStyle name="アクセント 4 2" xfId="155"/>
    <cellStyle name="アクセント 4 3" xfId="156"/>
    <cellStyle name="アクセント 4 4" xfId="157"/>
    <cellStyle name="アクセント 4 5" xfId="158"/>
    <cellStyle name="アクセント 5 2" xfId="159"/>
    <cellStyle name="アクセント 5 3" xfId="160"/>
    <cellStyle name="アクセント 5 4" xfId="161"/>
    <cellStyle name="アクセント 5 5" xfId="162"/>
    <cellStyle name="アクセント 6 2" xfId="163"/>
    <cellStyle name="アクセント 6 3" xfId="164"/>
    <cellStyle name="アクセント 6 4" xfId="165"/>
    <cellStyle name="アクセント 6 5" xfId="166"/>
    <cellStyle name="タイトル 2" xfId="167"/>
    <cellStyle name="タイトル 3" xfId="168"/>
    <cellStyle name="タイトル 4" xfId="169"/>
    <cellStyle name="タイトル 5" xfId="170"/>
    <cellStyle name="チェック セル 2" xfId="171"/>
    <cellStyle name="チェック セル 3" xfId="172"/>
    <cellStyle name="チェック セル 4" xfId="173"/>
    <cellStyle name="チェック セル 5" xfId="174"/>
    <cellStyle name="どちらでもない 2" xfId="175"/>
    <cellStyle name="どちらでもない 3" xfId="176"/>
    <cellStyle name="どちらでもない 4" xfId="177"/>
    <cellStyle name="どちらでもない 5" xfId="178"/>
    <cellStyle name="パーセント 2" xfId="179"/>
    <cellStyle name="パーセント 2 2" xfId="180"/>
    <cellStyle name="ハイパーリンク" xfId="1" builtinId="8"/>
    <cellStyle name="メモ 2" xfId="181"/>
    <cellStyle name="メモ 3" xfId="182"/>
    <cellStyle name="メモ 4" xfId="183"/>
    <cellStyle name="メモ 5" xfId="184"/>
    <cellStyle name="リンク セル 2" xfId="185"/>
    <cellStyle name="リンク セル 3" xfId="186"/>
    <cellStyle name="リンク セル 4" xfId="187"/>
    <cellStyle name="リンク セル 5" xfId="188"/>
    <cellStyle name="悪い 2" xfId="189"/>
    <cellStyle name="悪い 3" xfId="190"/>
    <cellStyle name="悪い 4" xfId="191"/>
    <cellStyle name="悪い 5" xfId="192"/>
    <cellStyle name="開発計画書スタイル" xfId="193"/>
    <cellStyle name="計算 2" xfId="194"/>
    <cellStyle name="計算 3" xfId="195"/>
    <cellStyle name="計算 4" xfId="196"/>
    <cellStyle name="計算 5" xfId="197"/>
    <cellStyle name="警告文 2" xfId="198"/>
    <cellStyle name="警告文 3" xfId="199"/>
    <cellStyle name="警告文 4" xfId="200"/>
    <cellStyle name="警告文 5" xfId="201"/>
    <cellStyle name="桁区切? [0.00]" xfId="202"/>
    <cellStyle name="見出し 1 2" xfId="203"/>
    <cellStyle name="見出し 1 3" xfId="204"/>
    <cellStyle name="見出し 1 4" xfId="205"/>
    <cellStyle name="見出し 1 5" xfId="206"/>
    <cellStyle name="見出し 2 2" xfId="207"/>
    <cellStyle name="見出し 2 3" xfId="208"/>
    <cellStyle name="見出し 2 4" xfId="209"/>
    <cellStyle name="見出し 2 5" xfId="210"/>
    <cellStyle name="見出し 3 2" xfId="211"/>
    <cellStyle name="見出し 3 3" xfId="212"/>
    <cellStyle name="見出し 3 4" xfId="213"/>
    <cellStyle name="見出し 3 5" xfId="214"/>
    <cellStyle name="見出し 4 2" xfId="215"/>
    <cellStyle name="見出し 4 3" xfId="216"/>
    <cellStyle name="見出し 4 4" xfId="217"/>
    <cellStyle name="見出し 4 5" xfId="218"/>
    <cellStyle name="集計 2" xfId="219"/>
    <cellStyle name="集計 3" xfId="220"/>
    <cellStyle name="集計 4" xfId="221"/>
    <cellStyle name="集計 5" xfId="222"/>
    <cellStyle name="出力 2" xfId="223"/>
    <cellStyle name="出力 3" xfId="224"/>
    <cellStyle name="出力 4" xfId="225"/>
    <cellStyle name="出力 5" xfId="226"/>
    <cellStyle name="説明文 2" xfId="227"/>
    <cellStyle name="説明文 3" xfId="228"/>
    <cellStyle name="説明文 4" xfId="229"/>
    <cellStyle name="説明文 5" xfId="230"/>
    <cellStyle name="入力 2" xfId="231"/>
    <cellStyle name="入力 3" xfId="232"/>
    <cellStyle name="入力 4" xfId="233"/>
    <cellStyle name="入力 5" xfId="234"/>
    <cellStyle name="標?_Pacific Region P&amp;L" xfId="235"/>
    <cellStyle name="標準" xfId="0" builtinId="0"/>
    <cellStyle name="標準 2" xfId="2"/>
    <cellStyle name="標準 2 2" xfId="236"/>
    <cellStyle name="標準 2 2 2" xfId="237"/>
    <cellStyle name="標準 2 3" xfId="238"/>
    <cellStyle name="標準 3" xfId="239"/>
    <cellStyle name="標準 3 2" xfId="240"/>
    <cellStyle name="標準 3 2 2" xfId="241"/>
    <cellStyle name="標準 3 3" xfId="242"/>
    <cellStyle name="標準 4" xfId="243"/>
    <cellStyle name="標準 4 2" xfId="244"/>
    <cellStyle name="標準 5" xfId="245"/>
    <cellStyle name="標準 6" xfId="246"/>
    <cellStyle name="標準 7" xfId="247"/>
    <cellStyle name="良い 2" xfId="248"/>
    <cellStyle name="良い 3" xfId="249"/>
    <cellStyle name="良い 4" xfId="250"/>
    <cellStyle name="良い 5" xfId="2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8</xdr:row>
          <xdr:rowOff>152400</xdr:rowOff>
        </xdr:from>
        <xdr:to>
          <xdr:col>1</xdr:col>
          <xdr:colOff>2028825</xdr:colOff>
          <xdr:row>12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7096;&#22806;&#20849;&#26377;&#12501;&#12457;&#12523;&#12480;&#12540;/aIss&#24773;&#22577;&#31995;_&#39015;&#23458;&#20849;&#26377;&#12501;&#12457;&#12523;&#12480;&#12540;/25.&#35201;&#20214;&#23450;&#32681;/20.%20&#21462;&#36796;&#27231;&#33021;/IF&#12501;&#12449;&#12452;&#12523;&#23450;&#32681;/IF&#23450;&#32681;/aIss/&#22806;&#37096;&#12452;&#12531;&#12479;&#12540;&#12501;&#12455;&#12540;&#12473;&#35373;&#35336;&#26360;_AB23A001_&#12509;&#12452;&#12531;&#12488;&#27531;&#39640;&#31649;&#29702;&#34920;&#12487;&#12540;&#1247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目次"/>
      <sheetName val="外部インターフェース仕様"/>
      <sheetName val="レコード構成"/>
      <sheetName val="ヘッダレコード"/>
      <sheetName val="データレコード"/>
      <sheetName val="エンドレコード"/>
      <sheetName val="データフロー"/>
      <sheetName val="データフロー ②"/>
      <sheetName val="データ"/>
    </sheetNames>
    <sheetDataSet>
      <sheetData sheetId="0" refreshError="1"/>
      <sheetData sheetId="1">
        <row r="1">
          <cell r="E1" t="str">
            <v>情報系システム構築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半角英字</v>
          </cell>
        </row>
        <row r="3">
          <cell r="A3" t="str">
            <v>半角数字</v>
          </cell>
        </row>
        <row r="4">
          <cell r="A4" t="str">
            <v>半角カナ</v>
          </cell>
        </row>
        <row r="5">
          <cell r="A5" t="str">
            <v>半角英数字</v>
          </cell>
        </row>
        <row r="6">
          <cell r="A6" t="str">
            <v>半角英数字記号</v>
          </cell>
        </row>
        <row r="7">
          <cell r="A7" t="str">
            <v>半角</v>
          </cell>
        </row>
        <row r="8">
          <cell r="A8" t="str">
            <v>全角ひらがな</v>
          </cell>
        </row>
        <row r="9">
          <cell r="A9" t="str">
            <v>全角カタカナ</v>
          </cell>
        </row>
        <row r="10">
          <cell r="A10" t="str">
            <v>全角</v>
          </cell>
        </row>
        <row r="11">
          <cell r="A11" t="str">
            <v>全角(外字含む)</v>
          </cell>
        </row>
        <row r="12">
          <cell r="A12" t="str">
            <v>全半角</v>
          </cell>
        </row>
        <row r="13">
          <cell r="A13" t="str">
            <v>全半角(外字含む)</v>
          </cell>
        </row>
        <row r="14">
          <cell r="A14" t="str">
            <v>符号無ゾーン10進数</v>
          </cell>
        </row>
        <row r="15">
          <cell r="A15" t="str">
            <v>符号付ゾーン10進数</v>
          </cell>
        </row>
        <row r="16">
          <cell r="A16" t="str">
            <v>符号無パック10進数</v>
          </cell>
        </row>
        <row r="17">
          <cell r="A17" t="str">
            <v>符号付パック10進数</v>
          </cell>
        </row>
        <row r="18">
          <cell r="A18" t="str">
            <v>符号無数値</v>
          </cell>
        </row>
        <row r="19">
          <cell r="A19" t="str">
            <v>符号付数値</v>
          </cell>
        </row>
        <row r="20">
          <cell r="A20" t="str">
            <v>バイナリ</v>
          </cell>
        </row>
      </sheetData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P2fsvt01\3520\DBS\&#65323;&#65316;&#65316;&#65321;&#24773;&#22577;&#31995;&#12471;&#12473;&#12486;&#12512;_&#37096;&#38272;&#38291;&#20849;&#26377;\90.&#21442;&#32771;&#36039;&#26009;\10.ORACLE\ph2.0\MUS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/>
  </sheetViews>
  <sheetFormatPr defaultRowHeight="13.5" x14ac:dyDescent="0.15"/>
  <cols>
    <col min="1" max="1" width="27" customWidth="1"/>
    <col min="2" max="2" width="57" customWidth="1"/>
    <col min="3" max="3" width="17.625" customWidth="1"/>
  </cols>
  <sheetData>
    <row r="1" spans="1:3" ht="17.25" x14ac:dyDescent="0.15">
      <c r="A1" s="3" t="s">
        <v>2</v>
      </c>
    </row>
    <row r="2" spans="1:3" x14ac:dyDescent="0.15">
      <c r="A2" s="2" t="s">
        <v>30</v>
      </c>
      <c r="B2" s="5" t="s">
        <v>45</v>
      </c>
    </row>
    <row r="3" spans="1:3" x14ac:dyDescent="0.15">
      <c r="A3" s="2" t="s">
        <v>31</v>
      </c>
      <c r="B3" s="1" t="s">
        <v>0</v>
      </c>
    </row>
    <row r="4" spans="1:3" x14ac:dyDescent="0.15">
      <c r="A4" s="2" t="s">
        <v>1</v>
      </c>
      <c r="B4" s="1" t="s">
        <v>47</v>
      </c>
      <c r="C4" s="2" t="s">
        <v>14</v>
      </c>
    </row>
    <row r="5" spans="1:3" x14ac:dyDescent="0.15">
      <c r="A5" s="2" t="s">
        <v>7</v>
      </c>
      <c r="B5" s="7"/>
      <c r="C5" s="4">
        <f>IF(ISERROR(VLOOKUP($B$4,モジュール一覧!$B$4:$G$13,4,FALSE)),"",VLOOKUP($B$4,モジュール一覧!$B$4:$G$13,4,FALSE))</f>
        <v>0</v>
      </c>
    </row>
    <row r="6" spans="1:3" x14ac:dyDescent="0.15">
      <c r="A6" s="2" t="s">
        <v>8</v>
      </c>
      <c r="B6" s="6"/>
      <c r="C6" s="4">
        <f>IF(ISERROR(VLOOKUP($B$4,モジュール一覧!$B$4:$G$13,5,FALSE)),"",VLOOKUP($B$4,モジュール一覧!$B$4:$G$13,5,FALSE))</f>
        <v>0</v>
      </c>
    </row>
    <row r="7" spans="1:3" x14ac:dyDescent="0.15">
      <c r="A7" s="2" t="s">
        <v>9</v>
      </c>
      <c r="B7" s="5"/>
      <c r="C7" s="4">
        <f>IF(ISERROR(VLOOKUP($B$4,モジュール一覧!$B$4:$G$13,6,FALSE)),"",VLOOKUP($B$4,モジュール一覧!$B$4:$G$13,6,FALSE))</f>
        <v>0</v>
      </c>
    </row>
    <row r="15" spans="1:3" x14ac:dyDescent="0.15">
      <c r="B15" t="s">
        <v>38</v>
      </c>
    </row>
  </sheetData>
  <phoneticPr fontId="1"/>
  <hyperlinks>
    <hyperlink ref="B2" r:id="rId1" display="\\P2fsvt01\3520\DBS\ＫＤＤＩ情報系システム_部門間共有\90.参考資料\10.ORACLE\ph2.0\MUSE"/>
  </hyperlinks>
  <pageMargins left="0.7" right="0.7" top="0.75" bottom="0.75" header="0.3" footer="0.3"/>
  <pageSetup paperSize="9" orientation="portrait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On">
                <anchor moveWithCells="1" sizeWithCells="1">
                  <from>
                    <xdr:col>0</xdr:col>
                    <xdr:colOff>1447800</xdr:colOff>
                    <xdr:row>8</xdr:row>
                    <xdr:rowOff>152400</xdr:rowOff>
                  </from>
                  <to>
                    <xdr:col>1</xdr:col>
                    <xdr:colOff>2028825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モジュール一覧!$B$4:$B$22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G15"/>
  <sheetViews>
    <sheetView workbookViewId="0"/>
  </sheetViews>
  <sheetFormatPr defaultRowHeight="13.5" x14ac:dyDescent="0.15"/>
  <cols>
    <col min="2" max="2" width="23" customWidth="1"/>
    <col min="3" max="3" width="49.75" customWidth="1"/>
    <col min="4" max="4" width="55.375" customWidth="1"/>
    <col min="5" max="5" width="26.25" customWidth="1"/>
    <col min="6" max="6" width="25.25" customWidth="1"/>
    <col min="7" max="7" width="24.375" customWidth="1"/>
  </cols>
  <sheetData>
    <row r="3" spans="2:7" x14ac:dyDescent="0.15">
      <c r="B3" s="2" t="s">
        <v>3</v>
      </c>
      <c r="C3" s="2" t="s">
        <v>12</v>
      </c>
      <c r="D3" s="2" t="s">
        <v>6</v>
      </c>
      <c r="E3" s="2" t="s">
        <v>7</v>
      </c>
      <c r="F3" s="2" t="s">
        <v>8</v>
      </c>
      <c r="G3" s="2" t="s">
        <v>9</v>
      </c>
    </row>
    <row r="4" spans="2:7" x14ac:dyDescent="0.15">
      <c r="B4" s="1" t="s">
        <v>4</v>
      </c>
      <c r="C4" s="1" t="s">
        <v>11</v>
      </c>
      <c r="D4" s="1" t="s">
        <v>5</v>
      </c>
      <c r="E4" s="1" t="s">
        <v>26</v>
      </c>
      <c r="F4" s="1" t="s">
        <v>26</v>
      </c>
      <c r="G4" s="1" t="s">
        <v>26</v>
      </c>
    </row>
    <row r="5" spans="2:7" x14ac:dyDescent="0.15">
      <c r="B5" s="1" t="s">
        <v>10</v>
      </c>
      <c r="C5" s="1" t="s">
        <v>13</v>
      </c>
      <c r="D5" s="1"/>
      <c r="E5" s="1" t="s">
        <v>19</v>
      </c>
      <c r="F5" s="1" t="s">
        <v>19</v>
      </c>
      <c r="G5" s="1" t="s">
        <v>19</v>
      </c>
    </row>
    <row r="6" spans="2:7" x14ac:dyDescent="0.15">
      <c r="B6" s="1" t="s">
        <v>15</v>
      </c>
      <c r="C6" s="1" t="s">
        <v>16</v>
      </c>
      <c r="D6" s="1"/>
      <c r="E6" s="1" t="s">
        <v>20</v>
      </c>
      <c r="F6" s="1" t="s">
        <v>18</v>
      </c>
      <c r="G6" s="1" t="s">
        <v>17</v>
      </c>
    </row>
    <row r="7" spans="2:7" x14ac:dyDescent="0.15">
      <c r="B7" s="1" t="s">
        <v>22</v>
      </c>
      <c r="C7" s="1" t="s">
        <v>28</v>
      </c>
      <c r="D7" s="1"/>
      <c r="E7" s="1" t="s">
        <v>21</v>
      </c>
      <c r="F7" s="1" t="s">
        <v>21</v>
      </c>
      <c r="G7" s="1" t="s">
        <v>21</v>
      </c>
    </row>
    <row r="8" spans="2:7" x14ac:dyDescent="0.15">
      <c r="B8" s="1" t="s">
        <v>23</v>
      </c>
      <c r="C8" s="1" t="s">
        <v>27</v>
      </c>
      <c r="D8" s="1"/>
      <c r="E8" s="1" t="s">
        <v>24</v>
      </c>
      <c r="F8" s="1" t="s">
        <v>24</v>
      </c>
      <c r="G8" s="1" t="s">
        <v>24</v>
      </c>
    </row>
    <row r="9" spans="2:7" x14ac:dyDescent="0.15">
      <c r="B9" s="1" t="s">
        <v>25</v>
      </c>
      <c r="C9" s="1" t="s">
        <v>29</v>
      </c>
      <c r="D9" s="1"/>
      <c r="E9" s="1" t="s">
        <v>17</v>
      </c>
      <c r="F9" s="1" t="s">
        <v>17</v>
      </c>
      <c r="G9" s="1" t="s">
        <v>17</v>
      </c>
    </row>
    <row r="10" spans="2:7" x14ac:dyDescent="0.15">
      <c r="B10" s="1" t="s">
        <v>32</v>
      </c>
      <c r="C10" s="1" t="s">
        <v>33</v>
      </c>
      <c r="D10" s="1"/>
      <c r="E10" s="1" t="s">
        <v>34</v>
      </c>
      <c r="F10" s="1" t="s">
        <v>35</v>
      </c>
      <c r="G10" s="1" t="s">
        <v>36</v>
      </c>
    </row>
    <row r="11" spans="2:7" x14ac:dyDescent="0.15">
      <c r="B11" s="1" t="s">
        <v>46</v>
      </c>
      <c r="C11" s="1" t="s">
        <v>37</v>
      </c>
      <c r="D11" s="1"/>
      <c r="E11" s="1"/>
      <c r="F11" s="1"/>
      <c r="G11" s="1"/>
    </row>
    <row r="12" spans="2:7" x14ac:dyDescent="0.15">
      <c r="B12" s="1" t="s">
        <v>39</v>
      </c>
      <c r="C12" s="1"/>
      <c r="D12" s="1"/>
      <c r="E12" s="1"/>
      <c r="F12" s="1"/>
      <c r="G12" s="1"/>
    </row>
    <row r="13" spans="2:7" x14ac:dyDescent="0.15">
      <c r="B13" s="1" t="s">
        <v>40</v>
      </c>
      <c r="C13" s="1"/>
      <c r="D13" s="1"/>
      <c r="E13" s="1"/>
      <c r="F13" s="1"/>
      <c r="G13" s="1"/>
    </row>
    <row r="14" spans="2:7" x14ac:dyDescent="0.15">
      <c r="B14" s="1" t="s">
        <v>41</v>
      </c>
      <c r="C14" s="1" t="s">
        <v>42</v>
      </c>
      <c r="D14" s="1"/>
      <c r="E14" s="1"/>
      <c r="F14" s="1"/>
      <c r="G14" s="1"/>
    </row>
    <row r="15" spans="2:7" x14ac:dyDescent="0.15">
      <c r="B15" s="8" t="s">
        <v>43</v>
      </c>
      <c r="C15" s="1" t="s">
        <v>44</v>
      </c>
      <c r="D15" s="1"/>
      <c r="E1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実行シート</vt:lpstr>
      <vt:lpstr>モジュール一覧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enoch</dc:creator>
  <cp:lastModifiedBy>板村 亮平(32849)</cp:lastModifiedBy>
  <dcterms:created xsi:type="dcterms:W3CDTF">2014-07-17T13:52:01Z</dcterms:created>
  <dcterms:modified xsi:type="dcterms:W3CDTF">2015-05-18T01:07:51Z</dcterms:modified>
</cp:coreProperties>
</file>